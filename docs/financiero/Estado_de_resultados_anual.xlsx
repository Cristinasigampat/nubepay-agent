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do de Result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<sst xmlns="http://schemas.openxmlformats.org/spreadsheetml/2006/main" count="21" uniqueCount="21">
  <si>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NubePay S.A. — Estado de Resultados (Consolidado, USD miles)</t>
  </si>
  <si>
    <t xml:space="preserve">Ejercicio fiscal 2025 · Cifras no auditadas, uso interno</t>
  </si>
  <si>
    <t xml:space="preserve">Concepto ($mm)</t>
  </si>
  <si>
    <t xml:space="preserve">2023</t>
  </si>
  <si>
    <t xml:space="preserve">2024</t>
  </si>
  <si>
    <t xml:space="preserve">2025</t>
  </si>
  <si>
    <t xml:space="preserve">Var. % 24→25</t>
  </si>
  <si>
    <t xml:space="preserve">Ingresos por comisiones de transferencia</t>
  </si>
  <si>
    <t xml:space="preserve">Ingresos por membresías (Pro/Business)</t>
  </si>
  <si>
    <t xml:space="preserve">Ingresos por intereses (float de cuentas)</t>
  </si>
  <si>
    <t xml:space="preserve">Ingresos totales</t>
  </si>
  <si>
    <t xml:space="preserve">Costo de procesamiento de pagos (rails)</t>
  </si>
  <si>
    <t xml:space="preserve">Costo de prevención de fraude y KYC</t>
  </si>
  <si>
    <t xml:space="preserve">Utilidad bruta</t>
  </si>
  <si>
    <t xml:space="preserve">Gastos de personal</t>
  </si>
  <si>
    <t xml:space="preserve">Gastos de marketing y adquisición de clientes</t>
  </si>
  <si>
    <t xml:space="preserve">Gastos de tecnología e infraestructura cloud</t>
  </si>
  <si>
    <t xml:space="preserve">Gastos generales y administrativos</t>
  </si>
  <si>
    <t xml:space="preserve">Utilidad operativa (EBIT)</t>
  </si>
  <si>
    <t xml:space="preserve">Impuesto a las ganancias (30%)</t>
  </si>
  <si>
    <t xml:space="preserve">Utilidad neta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</si>
</sst>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5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8.2</v>
      </c>
      <c r="C5" s="5" t="n">
        <v>13.6</v>
      </c>
      <c r="D5" s="5" t="n">
        <v>21.4</v>
      </c>
      <c r="E5" s="6"/>
    </row>
    <row r="6" customFormat="false" ht="15" hidden="false" customHeight="false" outlineLevel="0" collapsed="false">
      <c r="A6" s="4" t="s">
        <v>8</v>
      </c>
      <c r="B6" s="5" t="n">
        <v>1.1</v>
      </c>
      <c r="C6" s="5" t="n">
        <v>2.4</v>
      </c>
      <c r="D6" s="5" t="n">
        <v>4</v>
      </c>
      <c r="E6" s="6"/>
    </row>
    <row r="7" customFormat="false" ht="15" hidden="false" customHeight="false" outlineLevel="0" collapsed="false">
      <c r="A7" s="4" t="s">
        <v>9</v>
      </c>
      <c r="B7" s="5" t="n">
        <v>0.6</v>
      </c>
      <c r="C7" s="5" t="n">
        <v>1.3</v>
      </c>
      <c r="D7" s="5" t="n">
        <v>2.6</v>
      </c>
      <c r="E7" s="6"/>
    </row>
    <row r="8" customFormat="false" ht="15" hidden="false" customHeight="false" outlineLevel="0" collapsed="false">
      <c r="A8" s="6"/>
      <c r="E8" s="6"/>
    </row>
    <row r="9" customFormat="false" ht="15" hidden="false" customHeight="false" outlineLevel="0" collapsed="false">
      <c r="A9" s="7" t="s">
        <v>10</v>
      </c>
      <c r="B9" s="8" t="n">
        <f aca="false">SUM(B5:B7)</f>
        <v>9.9</v>
      </c>
      <c r="C9" s="8" t="n">
        <f aca="false">SUM(C5:C7)</f>
        <v>17.3</v>
      </c>
      <c r="D9" s="8" t="n">
        <f aca="false">SUM(D5:D7)</f>
        <v>28</v>
      </c>
      <c r="E9" s="9" t="n">
        <f aca="false">(D9-C9)/ABS(C9)</f>
        <v>0.61849710982659</v>
      </c>
    </row>
    <row r="10" customFormat="false" ht="15" hidden="false" customHeight="false" outlineLevel="0" collapsed="false">
      <c r="A10" s="6"/>
      <c r="E10" s="6"/>
    </row>
    <row r="11" customFormat="false" ht="15" hidden="false" customHeight="false" outlineLevel="0" collapsed="false">
      <c r="A11" s="4" t="s">
        <v>11</v>
      </c>
      <c r="B11" s="5" t="n">
        <v>-2.9</v>
      </c>
      <c r="C11" s="5" t="n">
        <v>-4.8</v>
      </c>
      <c r="D11" s="5" t="n">
        <v>-7.1</v>
      </c>
      <c r="E11" s="6"/>
    </row>
    <row r="12" customFormat="false" ht="15" hidden="false" customHeight="false" outlineLevel="0" collapsed="false">
      <c r="A12" s="4" t="s">
        <v>12</v>
      </c>
      <c r="B12" s="5" t="n">
        <v>-0.8</v>
      </c>
      <c r="C12" s="5" t="n">
        <v>-1.3</v>
      </c>
      <c r="D12" s="5" t="n">
        <v>-1.9</v>
      </c>
      <c r="E12" s="6"/>
    </row>
    <row r="13" customFormat="false" ht="15" hidden="false" customHeight="false" outlineLevel="0" collapsed="false">
      <c r="A13" s="6"/>
      <c r="E13" s="6"/>
    </row>
    <row r="14" customFormat="false" ht="15" hidden="false" customHeight="false" outlineLevel="0" collapsed="false">
      <c r="A14" s="7" t="s">
        <v>13</v>
      </c>
      <c r="B14" s="8" t="n">
        <f aca="false">B9+SUM(B11:B12)</f>
        <v>6.2</v>
      </c>
      <c r="C14" s="8" t="n">
        <f aca="false">C9+SUM(C11:C12)</f>
        <v>11.2</v>
      </c>
      <c r="D14" s="8" t="n">
        <f aca="false">D9+SUM(D11:D12)</f>
        <v>19</v>
      </c>
      <c r="E14" s="9" t="n">
        <f aca="false">(D14-C14)/ABS(C14)</f>
        <v>0.696428571428571</v>
      </c>
    </row>
    <row r="15" customFormat="false" ht="15" hidden="false" customHeight="false" outlineLevel="0" collapsed="false">
      <c r="A15" s="6"/>
      <c r="E15" s="6"/>
    </row>
    <row r="16" customFormat="false" ht="15" hidden="false" customHeight="false" outlineLevel="0" collapsed="false">
      <c r="A16" s="4" t="s">
        <v>14</v>
      </c>
      <c r="B16" s="5" t="n">
        <v>-3.1</v>
      </c>
      <c r="C16" s="5" t="n">
        <v>-5.2</v>
      </c>
      <c r="D16" s="5" t="n">
        <v>-7.8</v>
      </c>
      <c r="E16" s="6"/>
    </row>
    <row r="17" customFormat="false" ht="15" hidden="false" customHeight="false" outlineLevel="0" collapsed="false">
      <c r="A17" s="4" t="s">
        <v>15</v>
      </c>
      <c r="B17" s="5" t="n">
        <v>-1.9</v>
      </c>
      <c r="C17" s="5" t="n">
        <v>-3</v>
      </c>
      <c r="D17" s="5" t="n">
        <v>-4.2</v>
      </c>
      <c r="E17" s="6"/>
    </row>
    <row r="18" customFormat="false" ht="15" hidden="false" customHeight="false" outlineLevel="0" collapsed="false">
      <c r="A18" s="4" t="s">
        <v>16</v>
      </c>
      <c r="B18" s="5" t="n">
        <v>-1.2</v>
      </c>
      <c r="C18" s="5" t="n">
        <v>-1.9</v>
      </c>
      <c r="D18" s="5" t="n">
        <v>-2.7</v>
      </c>
      <c r="E18" s="6"/>
    </row>
    <row r="19" customFormat="false" ht="15" hidden="false" customHeight="false" outlineLevel="0" collapsed="false">
      <c r="A19" s="4" t="s">
        <v>17</v>
      </c>
      <c r="B19" s="5" t="n">
        <v>-0.9</v>
      </c>
      <c r="C19" s="5" t="n">
        <v>-1.4</v>
      </c>
      <c r="D19" s="5" t="n">
        <v>-1.8</v>
      </c>
      <c r="E19" s="6"/>
    </row>
    <row r="20" customFormat="false" ht="15" hidden="false" customHeight="false" outlineLevel="0" collapsed="false">
      <c r="A20" s="6"/>
      <c r="E20" s="6"/>
    </row>
    <row r="21" customFormat="false" ht="15" hidden="false" customHeight="false" outlineLevel="0" collapsed="false">
      <c r="A21" s="7" t="s">
        <v>18</v>
      </c>
      <c r="B21" s="8" t="n">
        <f aca="false">B14+SUM(B16:B19)</f>
        <v>-0.900000000000001</v>
      </c>
      <c r="C21" s="8" t="n">
        <f aca="false">C14+SUM(C16:C19)</f>
        <v>-0.299999999999999</v>
      </c>
      <c r="D21" s="8" t="n">
        <f aca="false">D14+SUM(D16:D19)</f>
        <v>2.5</v>
      </c>
      <c r="E21" s="9" t="n">
        <f aca="false">(D21-C21)/ABS(C21)</f>
        <v>9.33333333333336</v>
      </c>
    </row>
    <row r="22" customFormat="false" ht="15" hidden="false" customHeight="false" outlineLevel="0" collapsed="false">
      <c r="A22" s="6"/>
      <c r="E22" s="6"/>
    </row>
    <row r="23" customFormat="false" ht="15" hidden="false" customHeight="false" outlineLevel="0" collapsed="false">
      <c r="A23" s="4" t="s">
        <v>19</v>
      </c>
      <c r="B23" s="10" t="n">
        <f aca="false">-MAX(B21,0)*0.3</f>
        <v>-0</v>
      </c>
      <c r="C23" s="10" t="n">
        <f aca="false">-MAX(C21,0)*0.3</f>
        <v>-0</v>
      </c>
      <c r="D23" s="10" t="n">
        <f aca="false">-MAX(D21,0)*0.3</f>
        <v>-0.75</v>
      </c>
      <c r="E23" s="6"/>
    </row>
    <row r="24" customFormat="false" ht="15" hidden="false" customHeight="false" outlineLevel="0" collapsed="false">
      <c r="A24" s="6"/>
      <c r="E24" s="6"/>
    </row>
    <row r="25" customFormat="false" ht="15" hidden="false" customHeight="false" outlineLevel="0" collapsed="false">
      <c r="A25" s="7" t="s">
        <v>20</v>
      </c>
      <c r="B25" s="8" t="n">
        <f aca="false">B21+B23</f>
        <v>-0.900000000000001</v>
      </c>
      <c r="C25" s="8" t="n">
        <f aca="false">C21+C23</f>
        <v>-0.299999999999999</v>
      </c>
      <c r="D25" s="8" t="n">
        <f aca="false">D21+D23</f>
        <v>1.75</v>
      </c>
      <c r="E25" s="9" t="n">
        <f aca="false">(D25-C25)/ABS(C25)</f>
        <v>6.83333333333335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2026-07-09T20:09:07Z</dcterms:created>
  <dc:creator>openpyxl</dc:creator>
  <dc:description/>
  <dc:language>en-US</dc:language>
  <cp:lastModifiedBy/>
  <dcterms:modified xsi:type="dcterms:W3CDTF">2026-07-09T20:09:07Z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